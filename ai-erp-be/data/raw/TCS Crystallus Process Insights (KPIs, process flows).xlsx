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223700_tcs_com/Documents/Desktop/AI Friday/Use Case 01/"/>
    </mc:Choice>
  </mc:AlternateContent>
  <xr:revisionPtr revIDLastSave="139" documentId="13_ncr:1_{280D854F-F582-4E42-815F-B7F823F5FE8E}" xr6:coauthVersionLast="47" xr6:coauthVersionMax="47" xr10:uidLastSave="{948FAA0E-30D5-4C95-8929-7DD44D56722E}"/>
  <bookViews>
    <workbookView xWindow="-110" yWindow="-110" windowWidth="19420" windowHeight="11500" xr2:uid="{00000000-000D-0000-FFFF-FFFF00000000}"/>
  </bookViews>
  <sheets>
    <sheet name="K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<sst xmlns="http://schemas.openxmlformats.org/spreadsheetml/2006/main" count="566" uniqueCount="352">
  <si>
    <t>KPI</t>
  </si>
  <si>
    <t>Definition</t>
  </si>
  <si>
    <t>Formula (Typical)</t>
  </si>
  <si>
    <t>Frequency</t>
  </si>
  <si>
    <t>Primary Data Source</t>
  </si>
  <si>
    <t>Process Owner</t>
  </si>
  <si>
    <t>Order Cycle Time</t>
  </si>
  <si>
    <t>Time from order receipt to order shipment</t>
  </si>
  <si>
    <t>Avg(Shipment Date - Order Received Date)</t>
  </si>
  <si>
    <t>&lt; 48 hours</t>
  </si>
  <si>
    <t>Daily</t>
  </si>
  <si>
    <t>OMS/WMS/TMS</t>
  </si>
  <si>
    <t>Order Management</t>
  </si>
  <si>
    <t>Perfect Order Rate</t>
  </si>
  <si>
    <t>Orders delivered complete, accurate, damage-free, and on-time</t>
  </si>
  <si>
    <t>(Perfect Orders / Total Orders) × 100%</t>
  </si>
  <si>
    <t>&gt; 95%</t>
  </si>
  <si>
    <t>Weekly</t>
  </si>
  <si>
    <t>OMS/WMS/CRM</t>
  </si>
  <si>
    <t>Supply Chain</t>
  </si>
  <si>
    <t>On-Time Delivery (OTD)</t>
  </si>
  <si>
    <t>Orders delivered on or before promised date</t>
  </si>
  <si>
    <t>(On-Time Deliveries / Total Deliveries) × 100%</t>
  </si>
  <si>
    <t>&gt; 98%</t>
  </si>
  <si>
    <t>TMS/WMS</t>
  </si>
  <si>
    <t>Logistics</t>
  </si>
  <si>
    <t>Backorder Rate</t>
  </si>
  <si>
    <t>Percentage of orders delayed due to stockouts</t>
  </si>
  <si>
    <t>(Backordered Lines / Total Order Lines) × 100%</t>
  </si>
  <si>
    <t>&lt; 2%</t>
  </si>
  <si>
    <t>OMS/ERP Inventory</t>
  </si>
  <si>
    <t>Inventory Management</t>
  </si>
  <si>
    <t>Order Fill Rate</t>
  </si>
  <si>
    <t>Share of order quantity fulfilled on first shipment</t>
  </si>
  <si>
    <t>(Shipped Qty on First Attempt / Ordered Qty) × 100%</t>
  </si>
  <si>
    <t>&gt; 97%</t>
  </si>
  <si>
    <t>WMS/ERP</t>
  </si>
  <si>
    <t>Warehouse</t>
  </si>
  <si>
    <t>Invoice Accuracy</t>
  </si>
  <si>
    <t>Invoices issued without errors</t>
  </si>
  <si>
    <t>(Accurate Invoices / Total Invoices) × 100%</t>
  </si>
  <si>
    <t>&gt; 99.5%</t>
  </si>
  <si>
    <t>ERP/AR</t>
  </si>
  <si>
    <t>Finance (AR)</t>
  </si>
  <si>
    <t>Days Sales Outstanding (DSO)</t>
  </si>
  <si>
    <t>Average number of days to collect receivables</t>
  </si>
  <si>
    <t>(Accounts Receivable / Total Credit Sales) × Days</t>
  </si>
  <si>
    <t>&lt; 45 days</t>
  </si>
  <si>
    <t>Monthly</t>
  </si>
  <si>
    <t>Collection Effectiveness Index (CEI)</t>
  </si>
  <si>
    <t>Effectiveness of collections vs. amount collectible</t>
  </si>
  <si>
    <t>(Amount Collected / Amount Collectible) × 100%</t>
  </si>
  <si>
    <t>&gt; 92%</t>
  </si>
  <si>
    <t>Return Rate</t>
  </si>
  <si>
    <t>Customer returns relative to shipments</t>
  </si>
  <si>
    <t>(Returned Units / Shipped Units) × 100%</t>
  </si>
  <si>
    <t>&lt; 1%</t>
  </si>
  <si>
    <t>RMA/ERP</t>
  </si>
  <si>
    <t>Customer Service</t>
  </si>
  <si>
    <t>Revenue Leakage</t>
  </si>
  <si>
    <t>Revenue lost due to pricing, discount, or billing errors</t>
  </si>
  <si>
    <t>Sum(Value of Errors Identified)</t>
  </si>
  <si>
    <t>ERP/AR/CRM</t>
  </si>
  <si>
    <t>Finance</t>
  </si>
  <si>
    <t>Customer Lead Time</t>
  </si>
  <si>
    <t>Promise-to-delivery lead time perceived by customer</t>
  </si>
  <si>
    <t>Avg(Delivery Date - Order Confirmation Date)</t>
  </si>
  <si>
    <t>&lt; 72 hours</t>
  </si>
  <si>
    <t>OMS/TMS</t>
  </si>
  <si>
    <t>Credit Hold Rate</t>
  </si>
  <si>
    <t>Orders placed on hold due to credit issues</t>
  </si>
  <si>
    <t>(Orders on Credit Hold / Total Orders) × 100%</t>
  </si>
  <si>
    <t>Finance (Credit)</t>
  </si>
  <si>
    <t>Purchase Requisition (PR) to PO Cycle Time</t>
  </si>
  <si>
    <t>Time from PR creation to PO issuance</t>
  </si>
  <si>
    <t>Avg(PO Date - PR Date)</t>
  </si>
  <si>
    <t>&lt; 24 hours</t>
  </si>
  <si>
    <t>ERP/Procurement</t>
  </si>
  <si>
    <t>Procurement</t>
  </si>
  <si>
    <t>On-Time Supplier Delivery</t>
  </si>
  <si>
    <t>PO lines delivered by requested date</t>
  </si>
  <si>
    <t>(On-Time Lines / Total Lines) × 100%</t>
  </si>
  <si>
    <t>ERP/WMS</t>
  </si>
  <si>
    <t>First Pass Match Rate (3-way)</t>
  </si>
  <si>
    <t>PO–GRN–Invoice matches without exceptions</t>
  </si>
  <si>
    <t>(Matched Invoices / Total Invoices) × 100%</t>
  </si>
  <si>
    <t>ERP/AP</t>
  </si>
  <si>
    <t>Finance (AP)</t>
  </si>
  <si>
    <t>PO Compliance</t>
  </si>
  <si>
    <t>Spend placed on approved POs</t>
  </si>
  <si>
    <t>(PO-based Spend / Total Addressable Spend) × 100%</t>
  </si>
  <si>
    <t>&gt; 90%</t>
  </si>
  <si>
    <t>ERP/Spend Analytics</t>
  </si>
  <si>
    <t>&lt; 10 days</t>
  </si>
  <si>
    <t>Invoice Cycle Time</t>
  </si>
  <si>
    <t>Time from invoice receipt to payment</t>
  </si>
  <si>
    <t>Avg(Payment Date - Invoice Receipt Date)</t>
  </si>
  <si>
    <t>&lt; 15 days</t>
  </si>
  <si>
    <t>Early Payment Discounts Captured</t>
  </si>
  <si>
    <t>Discounts realized as % of available</t>
  </si>
  <si>
    <t>(Discounts Taken / Discounts Offered) × 100%</t>
  </si>
  <si>
    <t>&gt; 85%</t>
  </si>
  <si>
    <t>Supplier Defect Rate</t>
  </si>
  <si>
    <t>Quality defects per deliveries</t>
  </si>
  <si>
    <t>(Defective Lots / Total Lots) × 100%</t>
  </si>
  <si>
    <t>&lt; 0.5%</t>
  </si>
  <si>
    <t>QA/ERP</t>
  </si>
  <si>
    <t>Quality</t>
  </si>
  <si>
    <t>Maverick Spend</t>
  </si>
  <si>
    <t>Unapproved/off-contract spend</t>
  </si>
  <si>
    <t>(Off-Contract Spend / Total Spend) × 100%</t>
  </si>
  <si>
    <t>&lt; 5%</t>
  </si>
  <si>
    <t>GRN Accuracy</t>
  </si>
  <si>
    <t>Goods receipt postings without errors</t>
  </si>
  <si>
    <t>(Accurate GRNs / Total GRNs) × 100%</t>
  </si>
  <si>
    <t>&gt; 99%</t>
  </si>
  <si>
    <t>Supplier Onboarding Cycle Time</t>
  </si>
  <si>
    <t>Time to onboard new suppliers</t>
  </si>
  <si>
    <t>Avg(Approved Date - Initiation Date)</t>
  </si>
  <si>
    <t>SRM/ERP</t>
  </si>
  <si>
    <t>Forecast Accuracy (MAPE)</t>
  </si>
  <si>
    <t>Accuracy of demand forecast</t>
  </si>
  <si>
    <t>MAPE = Avg(|Forecast − Actual| / Actual) × 100%</t>
  </si>
  <si>
    <t>&lt; 15%</t>
  </si>
  <si>
    <t>APS/ERP</t>
  </si>
  <si>
    <t>Planning</t>
  </si>
  <si>
    <t>Plan Adherence</t>
  </si>
  <si>
    <t>Production completed as per plan</t>
  </si>
  <si>
    <t>(Actual Output per Plan / Planned Output) × 100%</t>
  </si>
  <si>
    <t>MES/ERP</t>
  </si>
  <si>
    <t>Production</t>
  </si>
  <si>
    <t>Overall Equipment Effectiveness (OEE)</t>
  </si>
  <si>
    <t>Composite of availability, performance, quality</t>
  </si>
  <si>
    <t>OEE = A × P × Q</t>
  </si>
  <si>
    <t>MES</t>
  </si>
  <si>
    <t>Operations</t>
  </si>
  <si>
    <t>First Pass Yield (FPY)</t>
  </si>
  <si>
    <t>Units produced without rework</t>
  </si>
  <si>
    <t>(Good Units / Total Units) × 100%</t>
  </si>
  <si>
    <t>MES/QA</t>
  </si>
  <si>
    <t>Scrap Rate</t>
  </si>
  <si>
    <t>Material lost in production</t>
  </si>
  <si>
    <t>(Scrap Qty / Total Input Qty) × 100%</t>
  </si>
  <si>
    <t>Capacity Utilization</t>
  </si>
  <si>
    <t>Use of available production capacity</t>
  </si>
  <si>
    <t>(Actual Output / Rated Capacity) × 100%</t>
  </si>
  <si>
    <t>80–90%</t>
  </si>
  <si>
    <t>Material Availability</t>
  </si>
  <si>
    <t>Materials available when scheduled</t>
  </si>
  <si>
    <t>(WO with All Materials / Total WO) × 100%</t>
  </si>
  <si>
    <t>ERP/MRP</t>
  </si>
  <si>
    <t>Schedule Attainment</t>
  </si>
  <si>
    <t>% of scheduled production achieved</t>
  </si>
  <si>
    <t>(Produced per Schedule / Scheduled) × 100%</t>
  </si>
  <si>
    <t>Close Cycle Time</t>
  </si>
  <si>
    <t>Days to close the books</t>
  </si>
  <si>
    <t>(Close Date − Period End Date)</t>
  </si>
  <si>
    <t>&lt; 5 days</t>
  </si>
  <si>
    <t>ERP/Consolidation</t>
  </si>
  <si>
    <t>Finance (Controller)</t>
  </si>
  <si>
    <t>Journal Error Rate</t>
  </si>
  <si>
    <t>Incorrect journals requiring correction</t>
  </si>
  <si>
    <t>(Erroneous Journals / Total Journals) × 100%</t>
  </si>
  <si>
    <t>ERP/GL</t>
  </si>
  <si>
    <t>Intercompany Reconciliation Timeliness</t>
  </si>
  <si>
    <t>Time to reconcile intercompany balances</t>
  </si>
  <si>
    <t>Avg(Days to Reconcile)</t>
  </si>
  <si>
    <t>&lt; 3 days</t>
  </si>
  <si>
    <t>Balance Sheet Reconciliation Completion</t>
  </si>
  <si>
    <t>% accounts reconciled on time</t>
  </si>
  <si>
    <t>(Reconciled Accounts on Time / Total Accounts) × 100%</t>
  </si>
  <si>
    <t>Quarterly</t>
  </si>
  <si>
    <t>Financial Statement Accuracy</t>
  </si>
  <si>
    <t>Statements issued without restatement</t>
  </si>
  <si>
    <t>(Accurate Statements / Total Statements) × 100%</t>
  </si>
  <si>
    <t>Policy Compliance</t>
  </si>
  <si>
    <t>Compliance with accounting policies</t>
  </si>
  <si>
    <t>(Compliant Transactions / Total Transactions) × 100%</t>
  </si>
  <si>
    <t>Manual Journal %</t>
  </si>
  <si>
    <t>Share of journals entered manually</t>
  </si>
  <si>
    <t>(Manual Journals / Total Journals) × 100%</t>
  </si>
  <si>
    <t>&lt; 10%</t>
  </si>
  <si>
    <t>Aging of Reconciling Items</t>
  </si>
  <si>
    <t>Average age of outstanding reconciling items</t>
  </si>
  <si>
    <t>Avg(Days Outstanding)</t>
  </si>
  <si>
    <t>&lt; 30 days</t>
  </si>
  <si>
    <t>Tax Filing Accuracy</t>
  </si>
  <si>
    <t>Returns filed without errors</t>
  </si>
  <si>
    <t>(Accurate Filings / Total Filings) × 100%</t>
  </si>
  <si>
    <t>Tax Systems</t>
  </si>
  <si>
    <t>Tax</t>
  </si>
  <si>
    <t>Time to Hire</t>
  </si>
  <si>
    <t>Days from requisition approval to offer acceptance</t>
  </si>
  <si>
    <t>Avg(Offer Accept Date − Requisition Approved Date)</t>
  </si>
  <si>
    <t>ATS/HRIS</t>
  </si>
  <si>
    <t>Talent Acquisition</t>
  </si>
  <si>
    <t>Offer Acceptance Rate</t>
  </si>
  <si>
    <t>Offers accepted vs. extended</t>
  </si>
  <si>
    <t>(Offers Accepted / Offers Extended) × 100%</t>
  </si>
  <si>
    <t>ATS</t>
  </si>
  <si>
    <t>New Hire Time to Productivity</t>
  </si>
  <si>
    <t>Time for new hires to reach target performance</t>
  </si>
  <si>
    <t>Avg(Days to Achieve KPI Threshold)</t>
  </si>
  <si>
    <t>&lt; 60 days</t>
  </si>
  <si>
    <t>HRIS/LMS</t>
  </si>
  <si>
    <t>HRBP</t>
  </si>
  <si>
    <t>Employee Turnover Rate</t>
  </si>
  <si>
    <t>Separations over average headcount</t>
  </si>
  <si>
    <t>(Separations / Avg Headcount) × 100%</t>
  </si>
  <si>
    <t>&lt; 12%</t>
  </si>
  <si>
    <t>HRIS</t>
  </si>
  <si>
    <t>Retention Rate (12M)</t>
  </si>
  <si>
    <t>Employees retained after 12 months</t>
  </si>
  <si>
    <t>(Retained after 12M / Hires 12M ago) × 100%</t>
  </si>
  <si>
    <t>Absenteeism Rate</t>
  </si>
  <si>
    <t>Unplanned absence vs. scheduled time</t>
  </si>
  <si>
    <t>(Absent Hours / Scheduled Hours) × 100%</t>
  </si>
  <si>
    <t>&lt; 3%</t>
  </si>
  <si>
    <t>HRIS/Time</t>
  </si>
  <si>
    <t>HR Operations</t>
  </si>
  <si>
    <t>Learning Completion Rate</t>
  </si>
  <si>
    <t>Assigned training completed on time</t>
  </si>
  <si>
    <t>(Completions on Time / Assigned) × 100%</t>
  </si>
  <si>
    <t>LMS</t>
  </si>
  <si>
    <t>L&amp;D</t>
  </si>
  <si>
    <t>Performance Review Completion</t>
  </si>
  <si>
    <t>Reviews completed by deadline</t>
  </si>
  <si>
    <t>(Completed Reviews / Required Reviews) × 100%</t>
  </si>
  <si>
    <t>HRIS/Performance</t>
  </si>
  <si>
    <t>Compensation Ratio</t>
  </si>
  <si>
    <t>Actual compensation vs. market mid-point</t>
  </si>
  <si>
    <t>(Employee Comp / Market Mid) × 100%</t>
  </si>
  <si>
    <t>95–105%</t>
  </si>
  <si>
    <t>Annual</t>
  </si>
  <si>
    <t>HRIS/Comp</t>
  </si>
  <si>
    <t>Compensation</t>
  </si>
  <si>
    <t>Exit Interview Completion</t>
  </si>
  <si>
    <t>% of exits with interviews completed</t>
  </si>
  <si>
    <t>(Completed Exit Interviews / Total Exits) × 100%</t>
  </si>
  <si>
    <t>Asset Acquisition Cycle Time</t>
  </si>
  <si>
    <t>Days from request to asset in service</t>
  </si>
  <si>
    <t>Avg(In-Service Date − Request Date)</t>
  </si>
  <si>
    <t>&lt; 20 days</t>
  </si>
  <si>
    <t>ERP/Asset Mgmt</t>
  </si>
  <si>
    <t>Asset Management</t>
  </si>
  <si>
    <t>CapEx Budget Variance</t>
  </si>
  <si>
    <t>Difference between budgeted and actual capital spend</t>
  </si>
  <si>
    <t>(Actual − Budget) / Budget × 100%</t>
  </si>
  <si>
    <t>±5%</t>
  </si>
  <si>
    <t>ERP/Finance</t>
  </si>
  <si>
    <t>Asset Utilization</t>
  </si>
  <si>
    <t>Actual usage vs. available time/capacity</t>
  </si>
  <si>
    <t>(Runtime / Available Time) × 100%</t>
  </si>
  <si>
    <t>EAM/MES/IoT</t>
  </si>
  <si>
    <t>Maintenance Compliance</t>
  </si>
  <si>
    <t>Preventive maintenance completed on schedule</t>
  </si>
  <si>
    <t>(PMs on Time / Scheduled PMs) × 100%</t>
  </si>
  <si>
    <t>EAM/CMMS</t>
  </si>
  <si>
    <t>Maintenance</t>
  </si>
  <si>
    <t>Depreciation Accuracy</t>
  </si>
  <si>
    <t>Depreciation posted accurately</t>
  </si>
  <si>
    <t>(Accurate Depreciation / Total Depreciation) × 100%</t>
  </si>
  <si>
    <t>ERP/FA</t>
  </si>
  <si>
    <t>Disposal Recovery Value</t>
  </si>
  <si>
    <t>Cash recovered at disposal as % of book or market value</t>
  </si>
  <si>
    <t>(Recovery / Book or Market Value) × 100%</t>
  </si>
  <si>
    <t>&gt; 60%</t>
  </si>
  <si>
    <t>ITSM/CRM</t>
  </si>
  <si>
    <t>Service Desk</t>
  </si>
  <si>
    <t>First Contact Resolution (FCR)</t>
  </si>
  <si>
    <t>Requests resolved in first interaction</t>
  </si>
  <si>
    <t>(FCR Cases / Total Cases) × 100%</t>
  </si>
  <si>
    <t>&gt; 75%</t>
  </si>
  <si>
    <t>SLA Compliance</t>
  </si>
  <si>
    <t>Requests resolved within SLA</t>
  </si>
  <si>
    <t>(On-SLA Resolutions / Total Resolutions) × 100%</t>
  </si>
  <si>
    <t>Service Delivery</t>
  </si>
  <si>
    <t>Customer Satisfaction (CSAT)</t>
  </si>
  <si>
    <t>Post-resolution satisfaction score</t>
  </si>
  <si>
    <t>Avg(Survey Score) × 100%</t>
  </si>
  <si>
    <t>Survey/CRM</t>
  </si>
  <si>
    <t>Reopen Rate</t>
  </si>
  <si>
    <t>Cases reopened after closure</t>
  </si>
  <si>
    <t>(Reopened Cases / Closed Cases) × 100%</t>
  </si>
  <si>
    <t>Escalation Rate</t>
  </si>
  <si>
    <t>Cases escalated beyond Tier 1</t>
  </si>
  <si>
    <t>(Escalated Cases / Total Cases) × 100%</t>
  </si>
  <si>
    <t>Knowledge Article Utilization</t>
  </si>
  <si>
    <t>Use of knowledge base to resolve</t>
  </si>
  <si>
    <t>(Resolutions using KB / Total Resolutions) × 100%</t>
  </si>
  <si>
    <t>KB/ITSM</t>
  </si>
  <si>
    <t>Self-Service Adoption</t>
  </si>
  <si>
    <t>Requests resolved via portal/automation</t>
  </si>
  <si>
    <t>(Self-Service Resolutions / Total Resolutions) × 100%</t>
  </si>
  <si>
    <t>&gt; 40%</t>
  </si>
  <si>
    <t>Portal/ITSM</t>
  </si>
  <si>
    <t>R&amp;D</t>
  </si>
  <si>
    <t>Prototype Success Rate</t>
  </si>
  <si>
    <t>Prototypes meeting acceptance criteria</t>
  </si>
  <si>
    <t>(Accepted Prototypes / Total Prototypes) × 100%</t>
  </si>
  <si>
    <t>&gt; 70%</t>
  </si>
  <si>
    <t>PLM/Labs</t>
  </si>
  <si>
    <t>Compliance/Regulatory Pass Rate</t>
  </si>
  <si>
    <t>Regulatory submissions accepted first time</t>
  </si>
  <si>
    <t>(Accepted on First Pass / Total Submissions) × 100%</t>
  </si>
  <si>
    <t>Regulatory/PLM</t>
  </si>
  <si>
    <t>Regulatory</t>
  </si>
  <si>
    <t>PMO</t>
  </si>
  <si>
    <t>PMO/Finance</t>
  </si>
  <si>
    <t>PMIS</t>
  </si>
  <si>
    <t>Milestone On-Time Rate</t>
  </si>
  <si>
    <t>Milestones achieved by target dates</t>
  </si>
  <si>
    <t>(On-Time Milestones / Total Milestones) × 100%</t>
  </si>
  <si>
    <t>Resource Utilization</t>
  </si>
  <si>
    <t>Actual utilization vs. planned</t>
  </si>
  <si>
    <t>(Actual Hours / Planned Hours) × 100%</t>
  </si>
  <si>
    <t>80–95%</t>
  </si>
  <si>
    <t>PMIS/Timesheets</t>
  </si>
  <si>
    <t>Benefits Realization</t>
  </si>
  <si>
    <t>Realized benefits vs. business case</t>
  </si>
  <si>
    <t>(Realized Benefits / Planned Benefits) × 100%</t>
  </si>
  <si>
    <t>Closure Timeliness</t>
  </si>
  <si>
    <t>Days from final deliverable to formal closure</t>
  </si>
  <si>
    <t>Avg(Closure Date − Final Deliverable Date)</t>
  </si>
  <si>
    <t>Business Value Streams</t>
  </si>
  <si>
    <t>Order to Cash (O2C)</t>
  </si>
  <si>
    <t>Procure to Pay (P2P)</t>
  </si>
  <si>
    <t>Plan to Manufacture (P2M)</t>
  </si>
  <si>
    <t>Record to Report (R2R)</t>
  </si>
  <si>
    <t>Hire to Retire (H2R)</t>
  </si>
  <si>
    <t>Acquire to Decommission (A2D)</t>
  </si>
  <si>
    <t>Request to Service (R2S)</t>
  </si>
  <si>
    <t>Idea to Market (I2M)</t>
  </si>
  <si>
    <t>Initiate (Project) to Close (I5</t>
  </si>
  <si>
    <t>Initiate (Project) to Close (I8</t>
  </si>
  <si>
    <t>Initiate (Project) to Close (I11</t>
  </si>
  <si>
    <t>Initiate (Project) to Close (I13</t>
  </si>
  <si>
    <t>Current KPI list</t>
  </si>
  <si>
    <t>Target</t>
  </si>
  <si>
    <t>60 hours</t>
  </si>
  <si>
    <t>73days</t>
  </si>
  <si>
    <t>36 hrs</t>
  </si>
  <si>
    <t>72 hours</t>
  </si>
  <si>
    <t>65 days</t>
  </si>
  <si>
    <t>21 days</t>
  </si>
  <si>
    <t>12 days</t>
  </si>
  <si>
    <t>7 days</t>
  </si>
  <si>
    <t>40 days</t>
  </si>
  <si>
    <t>60 days</t>
  </si>
  <si>
    <t>50 days</t>
  </si>
  <si>
    <t>+ / - 3%</t>
  </si>
  <si>
    <t>28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</si>
</sst>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1" applyFont="1"/>
    <xf numFmtId="0" fontId="0" fillId="0" borderId="0" xfId="0" quotePrefix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9" sqref="E69"/>
    </sheetView>
  </sheetViews>
  <sheetFormatPr defaultRowHeight="14.5" x14ac:dyDescent="0.35"/>
  <cols>
    <col min="1" max="1" width="27.6328125" bestFit="1" customWidth="1"/>
    <col min="2" max="2" width="30.1796875" bestFit="1" customWidth="1"/>
    <col min="3" max="3" width="54.54296875" bestFit="1" customWidth="1"/>
    <col min="4" max="4" width="45.26953125" bestFit="1" customWidth="1"/>
    <col min="5" max="5" width="13.7265625" style="3" bestFit="1" customWidth="1"/>
    <col min="6" max="6" width="15.6328125" bestFit="1" customWidth="1"/>
    <col min="7" max="7" width="10" bestFit="1" customWidth="1"/>
    <col min="8" max="8" width="18.7265625" bestFit="1" customWidth="1"/>
    <col min="9" max="9" width="20.6328125" bestFit="1" customWidth="1"/>
  </cols>
  <sheetData>
    <row r="1" spans="1:9" x14ac:dyDescent="0.35">
      <c r="A1" s="1" t="s">
        <v>324</v>
      </c>
      <c r="B1" s="1" t="s">
        <v>0</v>
      </c>
      <c r="C1" s="1" t="s">
        <v>1</v>
      </c>
      <c r="D1" s="1" t="s">
        <v>2</v>
      </c>
      <c r="E1" s="2" t="s">
        <v>337</v>
      </c>
      <c r="F1" s="1" t="s">
        <v>338</v>
      </c>
      <c r="G1" s="1" t="s">
        <v>3</v>
      </c>
      <c r="H1" s="1" t="s">
        <v>4</v>
      </c>
      <c r="I1" s="1" t="s">
        <v>5</v>
      </c>
    </row>
    <row r="2" spans="1:9" x14ac:dyDescent="0.35">
      <c r="A2" t="s">
        <v>325</v>
      </c>
      <c r="B2" t="s">
        <v>6</v>
      </c>
      <c r="C2" t="s">
        <v>7</v>
      </c>
      <c r="D2" t="s">
        <v>8</v>
      </c>
      <c r="E2" s="3" t="s">
        <v>339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5">
      <c r="A3" t="s">
        <v>325</v>
      </c>
      <c r="B3" t="s">
        <v>13</v>
      </c>
      <c r="C3" t="s">
        <v>14</v>
      </c>
      <c r="D3" t="s">
        <v>15</v>
      </c>
      <c r="E3" s="4">
        <v>0.82</v>
      </c>
      <c r="F3" t="s">
        <v>16</v>
      </c>
      <c r="G3" t="s">
        <v>17</v>
      </c>
      <c r="H3" t="s">
        <v>18</v>
      </c>
      <c r="I3" t="s">
        <v>19</v>
      </c>
    </row>
    <row r="4" spans="1:9" x14ac:dyDescent="0.35">
      <c r="A4" t="s">
        <v>325</v>
      </c>
      <c r="B4" t="s">
        <v>20</v>
      </c>
      <c r="C4" t="s">
        <v>21</v>
      </c>
      <c r="D4" t="s">
        <v>22</v>
      </c>
      <c r="E4" s="4">
        <v>0.82</v>
      </c>
      <c r="F4" t="s">
        <v>23</v>
      </c>
      <c r="G4" t="s">
        <v>10</v>
      </c>
      <c r="H4" t="s">
        <v>24</v>
      </c>
      <c r="I4" t="s">
        <v>25</v>
      </c>
    </row>
    <row r="5" spans="1:9" x14ac:dyDescent="0.35">
      <c r="A5" t="s">
        <v>325</v>
      </c>
      <c r="B5" t="s">
        <v>26</v>
      </c>
      <c r="C5" t="s">
        <v>27</v>
      </c>
      <c r="D5" t="s">
        <v>28</v>
      </c>
      <c r="E5" s="4">
        <v>0.18</v>
      </c>
      <c r="F5" t="s">
        <v>29</v>
      </c>
      <c r="G5" t="s">
        <v>17</v>
      </c>
      <c r="H5" t="s">
        <v>30</v>
      </c>
      <c r="I5" t="s">
        <v>31</v>
      </c>
    </row>
    <row r="6" spans="1:9" x14ac:dyDescent="0.35">
      <c r="A6" t="s">
        <v>325</v>
      </c>
      <c r="B6" t="s">
        <v>32</v>
      </c>
      <c r="C6" t="s">
        <v>33</v>
      </c>
      <c r="D6" t="s">
        <v>34</v>
      </c>
      <c r="E6" s="4">
        <v>0.8</v>
      </c>
      <c r="F6" t="s">
        <v>35</v>
      </c>
      <c r="G6" t="s">
        <v>10</v>
      </c>
      <c r="H6" t="s">
        <v>36</v>
      </c>
      <c r="I6" t="s">
        <v>37</v>
      </c>
    </row>
    <row r="7" spans="1:9" x14ac:dyDescent="0.35">
      <c r="A7" t="s">
        <v>325</v>
      </c>
      <c r="B7" t="s">
        <v>38</v>
      </c>
      <c r="C7" t="s">
        <v>39</v>
      </c>
      <c r="D7" t="s">
        <v>40</v>
      </c>
      <c r="E7" s="4">
        <v>0.98</v>
      </c>
      <c r="F7" t="s">
        <v>41</v>
      </c>
      <c r="G7" t="s">
        <v>17</v>
      </c>
      <c r="H7" t="s">
        <v>42</v>
      </c>
      <c r="I7" t="s">
        <v>43</v>
      </c>
    </row>
    <row r="8" spans="1:9" x14ac:dyDescent="0.35">
      <c r="A8" t="s">
        <v>325</v>
      </c>
      <c r="B8" t="s">
        <v>44</v>
      </c>
      <c r="C8" t="s">
        <v>45</v>
      </c>
      <c r="D8" t="s">
        <v>46</v>
      </c>
      <c r="E8" s="3" t="s">
        <v>340</v>
      </c>
      <c r="F8" t="s">
        <v>47</v>
      </c>
      <c r="G8" t="s">
        <v>48</v>
      </c>
      <c r="H8" t="s">
        <v>42</v>
      </c>
      <c r="I8" t="s">
        <v>43</v>
      </c>
    </row>
    <row r="9" spans="1:9" x14ac:dyDescent="0.35">
      <c r="A9" t="s">
        <v>325</v>
      </c>
      <c r="B9" t="s">
        <v>49</v>
      </c>
      <c r="C9" t="s">
        <v>50</v>
      </c>
      <c r="D9" t="s">
        <v>51</v>
      </c>
      <c r="E9" s="4">
        <v>0.95</v>
      </c>
      <c r="F9" t="s">
        <v>52</v>
      </c>
      <c r="G9" t="s">
        <v>48</v>
      </c>
      <c r="H9" t="s">
        <v>42</v>
      </c>
      <c r="I9" t="s">
        <v>43</v>
      </c>
    </row>
    <row r="10" spans="1:9" x14ac:dyDescent="0.35">
      <c r="A10" t="s">
        <v>325</v>
      </c>
      <c r="B10" t="s">
        <v>53</v>
      </c>
      <c r="C10" t="s">
        <v>54</v>
      </c>
      <c r="D10" t="s">
        <v>55</v>
      </c>
      <c r="E10" s="4">
        <v>0.03</v>
      </c>
      <c r="F10" t="s">
        <v>56</v>
      </c>
      <c r="G10" t="s">
        <v>48</v>
      </c>
      <c r="H10" t="s">
        <v>57</v>
      </c>
      <c r="I10" t="s">
        <v>58</v>
      </c>
    </row>
    <row r="11" spans="1:9" x14ac:dyDescent="0.35">
      <c r="A11" t="s">
        <v>325</v>
      </c>
      <c r="B11" t="s">
        <v>59</v>
      </c>
      <c r="C11" t="s">
        <v>60</v>
      </c>
      <c r="D11" t="s">
        <v>61</v>
      </c>
      <c r="E11" s="4">
        <v>0.01</v>
      </c>
      <c r="F11">
        <f>0</f>
        <v>0</v>
      </c>
      <c r="G11" t="s">
        <v>48</v>
      </c>
      <c r="H11" t="s">
        <v>62</v>
      </c>
      <c r="I11" t="s">
        <v>63</v>
      </c>
    </row>
    <row r="12" spans="1:9" x14ac:dyDescent="0.35">
      <c r="A12" t="s">
        <v>325</v>
      </c>
      <c r="B12" t="s">
        <v>64</v>
      </c>
      <c r="C12" t="s">
        <v>65</v>
      </c>
      <c r="D12" t="s">
        <v>66</v>
      </c>
      <c r="E12" s="3" t="s">
        <v>341</v>
      </c>
      <c r="F12" t="s">
        <v>67</v>
      </c>
      <c r="G12" t="s">
        <v>17</v>
      </c>
      <c r="H12" t="s">
        <v>68</v>
      </c>
      <c r="I12" t="s">
        <v>12</v>
      </c>
    </row>
    <row r="13" spans="1:9" x14ac:dyDescent="0.35">
      <c r="A13" t="s">
        <v>325</v>
      </c>
      <c r="B13" t="s">
        <v>69</v>
      </c>
      <c r="C13" t="s">
        <v>70</v>
      </c>
      <c r="D13" t="s">
        <v>71</v>
      </c>
      <c r="E13" s="5">
        <v>5.0000000000000001E-3</v>
      </c>
      <c r="F13" t="s">
        <v>56</v>
      </c>
      <c r="G13" t="s">
        <v>17</v>
      </c>
      <c r="H13" t="s">
        <v>42</v>
      </c>
      <c r="I13" t="s">
        <v>72</v>
      </c>
    </row>
    <row r="14" spans="1:9" x14ac:dyDescent="0.35">
      <c r="A14" t="s">
        <v>326</v>
      </c>
      <c r="B14" t="s">
        <v>73</v>
      </c>
      <c r="C14" t="s">
        <v>74</v>
      </c>
      <c r="D14" t="s">
        <v>75</v>
      </c>
      <c r="E14" s="3" t="s">
        <v>342</v>
      </c>
      <c r="F14" t="s">
        <v>76</v>
      </c>
      <c r="G14" t="s">
        <v>17</v>
      </c>
      <c r="H14" t="s">
        <v>77</v>
      </c>
      <c r="I14" t="s">
        <v>78</v>
      </c>
    </row>
    <row r="15" spans="1:9" x14ac:dyDescent="0.35">
      <c r="A15" t="s">
        <v>326</v>
      </c>
      <c r="B15" t="s">
        <v>79</v>
      </c>
      <c r="C15" t="s">
        <v>80</v>
      </c>
      <c r="D15" t="s">
        <v>81</v>
      </c>
      <c r="E15" s="4">
        <v>0.9</v>
      </c>
      <c r="F15" t="s">
        <v>16</v>
      </c>
      <c r="G15" t="s">
        <v>17</v>
      </c>
      <c r="H15" t="s">
        <v>82</v>
      </c>
      <c r="I15" t="s">
        <v>78</v>
      </c>
    </row>
    <row r="16" spans="1:9" x14ac:dyDescent="0.35">
      <c r="A16" t="s">
        <v>326</v>
      </c>
      <c r="B16" t="s">
        <v>83</v>
      </c>
      <c r="C16" t="s">
        <v>84</v>
      </c>
      <c r="D16" t="s">
        <v>85</v>
      </c>
      <c r="E16" s="4">
        <v>0.99</v>
      </c>
      <c r="F16" t="s">
        <v>23</v>
      </c>
      <c r="G16" t="s">
        <v>48</v>
      </c>
      <c r="H16" t="s">
        <v>86</v>
      </c>
      <c r="I16" t="s">
        <v>87</v>
      </c>
    </row>
    <row r="17" spans="1:12" x14ac:dyDescent="0.35">
      <c r="A17" t="s">
        <v>326</v>
      </c>
      <c r="B17" t="s">
        <v>88</v>
      </c>
      <c r="C17" t="s">
        <v>89</v>
      </c>
      <c r="D17" t="s">
        <v>90</v>
      </c>
      <c r="E17" s="4">
        <v>0.95</v>
      </c>
      <c r="F17" t="s">
        <v>91</v>
      </c>
      <c r="G17" t="s">
        <v>48</v>
      </c>
      <c r="H17" t="s">
        <v>92</v>
      </c>
      <c r="I17" t="s">
        <v>78</v>
      </c>
    </row>
    <row r="18" spans="1:12" x14ac:dyDescent="0.35">
      <c r="A18" t="s">
        <v>326</v>
      </c>
      <c r="B18" t="s">
        <v>94</v>
      </c>
      <c r="C18" t="s">
        <v>95</v>
      </c>
      <c r="D18" t="s">
        <v>96</v>
      </c>
      <c r="E18" s="3" t="s">
        <v>343</v>
      </c>
      <c r="F18" t="s">
        <v>47</v>
      </c>
      <c r="G18" t="s">
        <v>48</v>
      </c>
      <c r="H18" t="s">
        <v>86</v>
      </c>
      <c r="I18" t="s">
        <v>87</v>
      </c>
    </row>
    <row r="19" spans="1:12" x14ac:dyDescent="0.35">
      <c r="A19" t="s">
        <v>326</v>
      </c>
      <c r="B19" t="s">
        <v>98</v>
      </c>
      <c r="C19" t="s">
        <v>99</v>
      </c>
      <c r="D19" t="s">
        <v>100</v>
      </c>
      <c r="E19" s="4">
        <v>0.65</v>
      </c>
      <c r="F19" t="s">
        <v>101</v>
      </c>
      <c r="G19" t="s">
        <v>48</v>
      </c>
      <c r="H19" t="s">
        <v>86</v>
      </c>
      <c r="I19" t="s">
        <v>87</v>
      </c>
    </row>
    <row r="20" spans="1:12" x14ac:dyDescent="0.35">
      <c r="A20" t="s">
        <v>326</v>
      </c>
      <c r="B20" t="s">
        <v>102</v>
      </c>
      <c r="C20" t="s">
        <v>103</v>
      </c>
      <c r="D20" t="s">
        <v>104</v>
      </c>
      <c r="E20" s="5">
        <v>1E-3</v>
      </c>
      <c r="F20" t="s">
        <v>105</v>
      </c>
      <c r="G20" t="s">
        <v>48</v>
      </c>
      <c r="H20" t="s">
        <v>106</v>
      </c>
      <c r="I20" t="s">
        <v>107</v>
      </c>
    </row>
    <row r="21" spans="1:12" x14ac:dyDescent="0.35">
      <c r="A21" t="s">
        <v>326</v>
      </c>
      <c r="B21" t="s">
        <v>108</v>
      </c>
      <c r="C21" t="s">
        <v>109</v>
      </c>
      <c r="D21" t="s">
        <v>110</v>
      </c>
      <c r="E21" s="4">
        <v>0.03</v>
      </c>
      <c r="F21" t="s">
        <v>111</v>
      </c>
      <c r="G21" t="s">
        <v>48</v>
      </c>
      <c r="H21" t="s">
        <v>92</v>
      </c>
      <c r="I21" t="s">
        <v>78</v>
      </c>
    </row>
    <row r="22" spans="1:12" x14ac:dyDescent="0.35">
      <c r="A22" t="s">
        <v>326</v>
      </c>
      <c r="B22" t="s">
        <v>112</v>
      </c>
      <c r="C22" t="s">
        <v>113</v>
      </c>
      <c r="D22" t="s">
        <v>114</v>
      </c>
      <c r="E22" s="4">
        <v>0.99</v>
      </c>
      <c r="F22" t="s">
        <v>115</v>
      </c>
      <c r="G22" t="s">
        <v>17</v>
      </c>
      <c r="H22" t="s">
        <v>82</v>
      </c>
      <c r="I22" t="s">
        <v>37</v>
      </c>
    </row>
    <row r="23" spans="1:12" x14ac:dyDescent="0.35">
      <c r="A23" t="s">
        <v>326</v>
      </c>
      <c r="B23" t="s">
        <v>116</v>
      </c>
      <c r="C23" t="s">
        <v>117</v>
      </c>
      <c r="D23" t="s">
        <v>118</v>
      </c>
      <c r="E23" s="3" t="s">
        <v>344</v>
      </c>
      <c r="F23" t="s">
        <v>93</v>
      </c>
      <c r="G23" t="s">
        <v>48</v>
      </c>
      <c r="H23" t="s">
        <v>119</v>
      </c>
      <c r="I23" t="s">
        <v>78</v>
      </c>
    </row>
    <row r="24" spans="1:12" x14ac:dyDescent="0.35">
      <c r="A24" t="s">
        <v>327</v>
      </c>
      <c r="B24" t="s">
        <v>120</v>
      </c>
      <c r="C24" t="s">
        <v>121</v>
      </c>
      <c r="D24" t="s">
        <v>122</v>
      </c>
      <c r="E24" s="4">
        <v>0.2</v>
      </c>
      <c r="F24" t="s">
        <v>123</v>
      </c>
      <c r="G24" t="s">
        <v>48</v>
      </c>
      <c r="H24" t="s">
        <v>124</v>
      </c>
      <c r="I24" t="s">
        <v>125</v>
      </c>
      <c r="L24" s="6"/>
    </row>
    <row r="25" spans="1:12" x14ac:dyDescent="0.35">
      <c r="A25" t="s">
        <v>327</v>
      </c>
      <c r="B25" t="s">
        <v>126</v>
      </c>
      <c r="C25" t="s">
        <v>127</v>
      </c>
      <c r="D25" t="s">
        <v>128</v>
      </c>
      <c r="E25" s="4">
        <v>0.88</v>
      </c>
      <c r="F25" t="s">
        <v>16</v>
      </c>
      <c r="G25" t="s">
        <v>10</v>
      </c>
      <c r="H25" t="s">
        <v>129</v>
      </c>
      <c r="I25" t="s">
        <v>130</v>
      </c>
    </row>
    <row r="26" spans="1:12" x14ac:dyDescent="0.35">
      <c r="A26" t="s">
        <v>327</v>
      </c>
      <c r="B26" t="s">
        <v>131</v>
      </c>
      <c r="C26" t="s">
        <v>132</v>
      </c>
      <c r="D26" t="s">
        <v>133</v>
      </c>
      <c r="E26" s="4">
        <v>0.75</v>
      </c>
      <c r="F26" t="s">
        <v>101</v>
      </c>
      <c r="G26" t="s">
        <v>10</v>
      </c>
      <c r="H26" t="s">
        <v>134</v>
      </c>
      <c r="I26" t="s">
        <v>135</v>
      </c>
    </row>
    <row r="27" spans="1:12" x14ac:dyDescent="0.35">
      <c r="A27" t="s">
        <v>327</v>
      </c>
      <c r="B27" t="s">
        <v>136</v>
      </c>
      <c r="C27" t="s">
        <v>137</v>
      </c>
      <c r="D27" t="s">
        <v>138</v>
      </c>
      <c r="E27" s="4">
        <v>0.87</v>
      </c>
      <c r="F27" t="s">
        <v>23</v>
      </c>
      <c r="G27" t="s">
        <v>10</v>
      </c>
      <c r="H27" t="s">
        <v>139</v>
      </c>
      <c r="I27" t="s">
        <v>107</v>
      </c>
    </row>
    <row r="28" spans="1:12" x14ac:dyDescent="0.35">
      <c r="A28" t="s">
        <v>327</v>
      </c>
      <c r="B28" t="s">
        <v>140</v>
      </c>
      <c r="C28" t="s">
        <v>141</v>
      </c>
      <c r="D28" t="s">
        <v>142</v>
      </c>
      <c r="E28" s="4">
        <v>0.04</v>
      </c>
      <c r="F28" t="s">
        <v>29</v>
      </c>
      <c r="G28" t="s">
        <v>17</v>
      </c>
      <c r="H28" t="s">
        <v>129</v>
      </c>
      <c r="I28" t="s">
        <v>135</v>
      </c>
    </row>
    <row r="29" spans="1:12" x14ac:dyDescent="0.35">
      <c r="A29" t="s">
        <v>327</v>
      </c>
      <c r="B29" t="s">
        <v>143</v>
      </c>
      <c r="C29" t="s">
        <v>144</v>
      </c>
      <c r="D29" t="s">
        <v>145</v>
      </c>
      <c r="E29" s="4">
        <v>0.75</v>
      </c>
      <c r="F29" t="s">
        <v>146</v>
      </c>
      <c r="G29" t="s">
        <v>17</v>
      </c>
      <c r="H29" t="s">
        <v>129</v>
      </c>
      <c r="I29" t="s">
        <v>130</v>
      </c>
    </row>
    <row r="30" spans="1:12" x14ac:dyDescent="0.35">
      <c r="A30" t="s">
        <v>327</v>
      </c>
      <c r="B30" t="s">
        <v>147</v>
      </c>
      <c r="C30" t="s">
        <v>148</v>
      </c>
      <c r="D30" t="s">
        <v>149</v>
      </c>
      <c r="E30" s="4">
        <v>0.85</v>
      </c>
      <c r="F30" t="s">
        <v>23</v>
      </c>
      <c r="G30" t="s">
        <v>10</v>
      </c>
      <c r="H30" t="s">
        <v>150</v>
      </c>
      <c r="I30" t="s">
        <v>125</v>
      </c>
    </row>
    <row r="31" spans="1:12" x14ac:dyDescent="0.35">
      <c r="A31" t="s">
        <v>327</v>
      </c>
      <c r="B31" t="s">
        <v>151</v>
      </c>
      <c r="C31" t="s">
        <v>152</v>
      </c>
      <c r="D31" t="s">
        <v>153</v>
      </c>
      <c r="E31" s="4">
        <v>0.98</v>
      </c>
      <c r="F31" t="s">
        <v>16</v>
      </c>
      <c r="G31" t="s">
        <v>10</v>
      </c>
      <c r="H31" t="s">
        <v>134</v>
      </c>
      <c r="I31" t="s">
        <v>130</v>
      </c>
    </row>
    <row r="32" spans="1:12" x14ac:dyDescent="0.35">
      <c r="A32" t="s">
        <v>328</v>
      </c>
      <c r="B32" t="s">
        <v>154</v>
      </c>
      <c r="C32" t="s">
        <v>155</v>
      </c>
      <c r="D32" t="s">
        <v>156</v>
      </c>
      <c r="E32" s="3" t="s">
        <v>345</v>
      </c>
      <c r="F32" t="s">
        <v>157</v>
      </c>
      <c r="G32" t="s">
        <v>48</v>
      </c>
      <c r="H32" t="s">
        <v>158</v>
      </c>
      <c r="I32" t="s">
        <v>159</v>
      </c>
    </row>
    <row r="33" spans="1:9" x14ac:dyDescent="0.35">
      <c r="A33" t="s">
        <v>328</v>
      </c>
      <c r="B33" t="s">
        <v>160</v>
      </c>
      <c r="C33" t="s">
        <v>161</v>
      </c>
      <c r="D33" t="s">
        <v>162</v>
      </c>
      <c r="E33" s="5">
        <v>3.0000000000000001E-3</v>
      </c>
      <c r="F33" t="s">
        <v>105</v>
      </c>
      <c r="G33" t="s">
        <v>48</v>
      </c>
      <c r="H33" t="s">
        <v>163</v>
      </c>
      <c r="I33" t="s">
        <v>63</v>
      </c>
    </row>
    <row r="34" spans="1:9" x14ac:dyDescent="0.35">
      <c r="A34" t="s">
        <v>328</v>
      </c>
      <c r="B34" t="s">
        <v>164</v>
      </c>
      <c r="C34" t="s">
        <v>165</v>
      </c>
      <c r="D34" t="s">
        <v>166</v>
      </c>
      <c r="E34" s="3" t="s">
        <v>346</v>
      </c>
      <c r="F34" t="s">
        <v>167</v>
      </c>
      <c r="G34" t="s">
        <v>48</v>
      </c>
      <c r="H34" t="s">
        <v>158</v>
      </c>
      <c r="I34" t="s">
        <v>63</v>
      </c>
    </row>
    <row r="35" spans="1:9" x14ac:dyDescent="0.35">
      <c r="A35" t="s">
        <v>328</v>
      </c>
      <c r="B35" t="s">
        <v>168</v>
      </c>
      <c r="C35" t="s">
        <v>169</v>
      </c>
      <c r="D35" t="s">
        <v>170</v>
      </c>
      <c r="E35" s="4">
        <v>0.93</v>
      </c>
      <c r="F35" t="s">
        <v>23</v>
      </c>
      <c r="G35" t="s">
        <v>48</v>
      </c>
      <c r="H35" t="s">
        <v>163</v>
      </c>
      <c r="I35" t="s">
        <v>63</v>
      </c>
    </row>
    <row r="36" spans="1:9" x14ac:dyDescent="0.35">
      <c r="A36" t="s">
        <v>328</v>
      </c>
      <c r="B36" t="s">
        <v>172</v>
      </c>
      <c r="C36" t="s">
        <v>173</v>
      </c>
      <c r="D36" t="s">
        <v>174</v>
      </c>
      <c r="E36" s="4">
        <v>1</v>
      </c>
      <c r="F36" t="s">
        <v>41</v>
      </c>
      <c r="G36" t="s">
        <v>171</v>
      </c>
      <c r="H36" t="s">
        <v>158</v>
      </c>
      <c r="I36" t="s">
        <v>63</v>
      </c>
    </row>
    <row r="37" spans="1:9" x14ac:dyDescent="0.35">
      <c r="A37" t="s">
        <v>328</v>
      </c>
      <c r="B37" t="s">
        <v>175</v>
      </c>
      <c r="C37" t="s">
        <v>176</v>
      </c>
      <c r="D37" t="s">
        <v>177</v>
      </c>
      <c r="E37" s="4">
        <v>1</v>
      </c>
      <c r="F37" t="s">
        <v>115</v>
      </c>
      <c r="G37" t="s">
        <v>48</v>
      </c>
      <c r="H37" t="s">
        <v>163</v>
      </c>
      <c r="I37" t="s">
        <v>63</v>
      </c>
    </row>
    <row r="38" spans="1:9" x14ac:dyDescent="0.35">
      <c r="A38" t="s">
        <v>328</v>
      </c>
      <c r="B38" t="s">
        <v>178</v>
      </c>
      <c r="C38" t="s">
        <v>179</v>
      </c>
      <c r="D38" t="s">
        <v>180</v>
      </c>
      <c r="E38" s="4">
        <v>0.08</v>
      </c>
      <c r="F38" t="s">
        <v>181</v>
      </c>
      <c r="G38" t="s">
        <v>48</v>
      </c>
      <c r="H38" t="s">
        <v>163</v>
      </c>
      <c r="I38" t="s">
        <v>63</v>
      </c>
    </row>
    <row r="39" spans="1:9" x14ac:dyDescent="0.35">
      <c r="A39" t="s">
        <v>328</v>
      </c>
      <c r="B39" t="s">
        <v>182</v>
      </c>
      <c r="C39" t="s">
        <v>183</v>
      </c>
      <c r="D39" t="s">
        <v>184</v>
      </c>
      <c r="E39" s="3" t="s">
        <v>347</v>
      </c>
      <c r="F39" t="s">
        <v>185</v>
      </c>
      <c r="G39" t="s">
        <v>48</v>
      </c>
      <c r="H39" t="s">
        <v>163</v>
      </c>
      <c r="I39" t="s">
        <v>63</v>
      </c>
    </row>
    <row r="40" spans="1:9" x14ac:dyDescent="0.35">
      <c r="A40" t="s">
        <v>328</v>
      </c>
      <c r="B40" t="s">
        <v>186</v>
      </c>
      <c r="C40" t="s">
        <v>187</v>
      </c>
      <c r="D40" t="s">
        <v>188</v>
      </c>
      <c r="E40" s="4">
        <v>1</v>
      </c>
      <c r="F40" t="s">
        <v>115</v>
      </c>
      <c r="G40" t="s">
        <v>171</v>
      </c>
      <c r="H40" t="s">
        <v>189</v>
      </c>
      <c r="I40" t="s">
        <v>190</v>
      </c>
    </row>
    <row r="41" spans="1:9" x14ac:dyDescent="0.35">
      <c r="A41" t="s">
        <v>329</v>
      </c>
      <c r="B41" t="s">
        <v>191</v>
      </c>
      <c r="C41" t="s">
        <v>192</v>
      </c>
      <c r="D41" t="s">
        <v>193</v>
      </c>
      <c r="E41" s="3" t="s">
        <v>344</v>
      </c>
      <c r="F41" t="s">
        <v>185</v>
      </c>
      <c r="G41" t="s">
        <v>48</v>
      </c>
      <c r="H41" t="s">
        <v>194</v>
      </c>
      <c r="I41" t="s">
        <v>195</v>
      </c>
    </row>
    <row r="42" spans="1:9" x14ac:dyDescent="0.35">
      <c r="A42" t="s">
        <v>329</v>
      </c>
      <c r="B42" t="s">
        <v>196</v>
      </c>
      <c r="C42" t="s">
        <v>197</v>
      </c>
      <c r="D42" t="s">
        <v>198</v>
      </c>
      <c r="E42" s="4">
        <v>0.6</v>
      </c>
      <c r="F42" t="s">
        <v>101</v>
      </c>
      <c r="G42" t="s">
        <v>48</v>
      </c>
      <c r="H42" t="s">
        <v>199</v>
      </c>
      <c r="I42" t="s">
        <v>195</v>
      </c>
    </row>
    <row r="43" spans="1:9" x14ac:dyDescent="0.35">
      <c r="A43" t="s">
        <v>329</v>
      </c>
      <c r="B43" t="s">
        <v>200</v>
      </c>
      <c r="C43" t="s">
        <v>201</v>
      </c>
      <c r="D43" t="s">
        <v>202</v>
      </c>
      <c r="E43" s="3" t="s">
        <v>348</v>
      </c>
      <c r="F43" t="s">
        <v>203</v>
      </c>
      <c r="G43" t="s">
        <v>171</v>
      </c>
      <c r="H43" t="s">
        <v>204</v>
      </c>
      <c r="I43" t="s">
        <v>205</v>
      </c>
    </row>
    <row r="44" spans="1:9" x14ac:dyDescent="0.35">
      <c r="A44" t="s">
        <v>329</v>
      </c>
      <c r="B44" t="s">
        <v>206</v>
      </c>
      <c r="C44" t="s">
        <v>207</v>
      </c>
      <c r="D44" t="s">
        <v>208</v>
      </c>
      <c r="E44" s="4">
        <v>0.1</v>
      </c>
      <c r="F44" t="s">
        <v>209</v>
      </c>
      <c r="G44" t="s">
        <v>48</v>
      </c>
      <c r="H44" t="s">
        <v>210</v>
      </c>
      <c r="I44" t="s">
        <v>205</v>
      </c>
    </row>
    <row r="45" spans="1:9" x14ac:dyDescent="0.35">
      <c r="A45" t="s">
        <v>329</v>
      </c>
      <c r="B45" t="s">
        <v>211</v>
      </c>
      <c r="C45" t="s">
        <v>212</v>
      </c>
      <c r="D45" t="s">
        <v>213</v>
      </c>
      <c r="E45" s="4">
        <v>0.95</v>
      </c>
      <c r="F45" t="s">
        <v>91</v>
      </c>
      <c r="G45" t="s">
        <v>48</v>
      </c>
      <c r="H45" t="s">
        <v>210</v>
      </c>
      <c r="I45" t="s">
        <v>205</v>
      </c>
    </row>
    <row r="46" spans="1:9" x14ac:dyDescent="0.35">
      <c r="A46" t="s">
        <v>329</v>
      </c>
      <c r="B46" t="s">
        <v>214</v>
      </c>
      <c r="C46" t="s">
        <v>215</v>
      </c>
      <c r="D46" t="s">
        <v>216</v>
      </c>
      <c r="E46" s="4">
        <v>0.05</v>
      </c>
      <c r="F46" t="s">
        <v>217</v>
      </c>
      <c r="G46" t="s">
        <v>48</v>
      </c>
      <c r="H46" t="s">
        <v>218</v>
      </c>
      <c r="I46" t="s">
        <v>219</v>
      </c>
    </row>
    <row r="47" spans="1:9" x14ac:dyDescent="0.35">
      <c r="A47" t="s">
        <v>329</v>
      </c>
      <c r="B47" t="s">
        <v>220</v>
      </c>
      <c r="C47" t="s">
        <v>221</v>
      </c>
      <c r="D47" t="s">
        <v>222</v>
      </c>
      <c r="E47" s="4">
        <v>0.98</v>
      </c>
      <c r="F47" t="s">
        <v>16</v>
      </c>
      <c r="G47" t="s">
        <v>48</v>
      </c>
      <c r="H47" t="s">
        <v>223</v>
      </c>
      <c r="I47" t="s">
        <v>224</v>
      </c>
    </row>
    <row r="48" spans="1:9" x14ac:dyDescent="0.35">
      <c r="A48" t="s">
        <v>329</v>
      </c>
      <c r="B48" t="s">
        <v>225</v>
      </c>
      <c r="C48" t="s">
        <v>226</v>
      </c>
      <c r="D48" t="s">
        <v>227</v>
      </c>
      <c r="E48" s="4">
        <v>1</v>
      </c>
      <c r="F48" t="s">
        <v>23</v>
      </c>
      <c r="G48" t="s">
        <v>171</v>
      </c>
      <c r="H48" t="s">
        <v>228</v>
      </c>
      <c r="I48" t="s">
        <v>219</v>
      </c>
    </row>
    <row r="49" spans="1:9" x14ac:dyDescent="0.35">
      <c r="A49" t="s">
        <v>329</v>
      </c>
      <c r="B49" t="s">
        <v>229</v>
      </c>
      <c r="C49" t="s">
        <v>230</v>
      </c>
      <c r="D49" t="s">
        <v>231</v>
      </c>
      <c r="E49" s="4">
        <v>0.9</v>
      </c>
      <c r="F49" t="s">
        <v>232</v>
      </c>
      <c r="G49" t="s">
        <v>233</v>
      </c>
      <c r="H49" t="s">
        <v>234</v>
      </c>
      <c r="I49" t="s">
        <v>235</v>
      </c>
    </row>
    <row r="50" spans="1:9" x14ac:dyDescent="0.35">
      <c r="A50" t="s">
        <v>329</v>
      </c>
      <c r="B50" t="s">
        <v>236</v>
      </c>
      <c r="C50" t="s">
        <v>237</v>
      </c>
      <c r="D50" t="s">
        <v>238</v>
      </c>
      <c r="E50" s="4">
        <v>0.8</v>
      </c>
      <c r="F50" t="s">
        <v>91</v>
      </c>
      <c r="G50" t="s">
        <v>48</v>
      </c>
      <c r="H50" t="s">
        <v>210</v>
      </c>
      <c r="I50" t="s">
        <v>219</v>
      </c>
    </row>
    <row r="51" spans="1:9" x14ac:dyDescent="0.35">
      <c r="A51" t="s">
        <v>330</v>
      </c>
      <c r="B51" t="s">
        <v>239</v>
      </c>
      <c r="C51" t="s">
        <v>240</v>
      </c>
      <c r="D51" t="s">
        <v>241</v>
      </c>
      <c r="E51" s="3" t="s">
        <v>349</v>
      </c>
      <c r="F51" t="s">
        <v>242</v>
      </c>
      <c r="G51" t="s">
        <v>48</v>
      </c>
      <c r="H51" t="s">
        <v>243</v>
      </c>
      <c r="I51" t="s">
        <v>244</v>
      </c>
    </row>
    <row r="52" spans="1:9" x14ac:dyDescent="0.35">
      <c r="A52" t="s">
        <v>330</v>
      </c>
      <c r="B52" t="s">
        <v>245</v>
      </c>
      <c r="C52" t="s">
        <v>246</v>
      </c>
      <c r="D52" t="s">
        <v>247</v>
      </c>
      <c r="E52" s="7" t="s">
        <v>350</v>
      </c>
      <c r="F52" t="s">
        <v>248</v>
      </c>
      <c r="G52" t="s">
        <v>48</v>
      </c>
      <c r="H52" t="s">
        <v>249</v>
      </c>
      <c r="I52" t="s">
        <v>63</v>
      </c>
    </row>
    <row r="53" spans="1:9" x14ac:dyDescent="0.35">
      <c r="A53" t="s">
        <v>330</v>
      </c>
      <c r="B53" t="s">
        <v>250</v>
      </c>
      <c r="C53" t="s">
        <v>251</v>
      </c>
      <c r="D53" t="s">
        <v>252</v>
      </c>
      <c r="E53" s="4">
        <v>0.8</v>
      </c>
      <c r="F53" t="s">
        <v>101</v>
      </c>
      <c r="G53" t="s">
        <v>17</v>
      </c>
      <c r="H53" t="s">
        <v>253</v>
      </c>
      <c r="I53" t="s">
        <v>135</v>
      </c>
    </row>
    <row r="54" spans="1:9" x14ac:dyDescent="0.35">
      <c r="A54" t="s">
        <v>330</v>
      </c>
      <c r="B54" t="s">
        <v>254</v>
      </c>
      <c r="C54" t="s">
        <v>255</v>
      </c>
      <c r="D54" t="s">
        <v>256</v>
      </c>
      <c r="E54" s="4">
        <v>0.96</v>
      </c>
      <c r="F54" t="s">
        <v>16</v>
      </c>
      <c r="G54" t="s">
        <v>17</v>
      </c>
      <c r="H54" t="s">
        <v>257</v>
      </c>
      <c r="I54" t="s">
        <v>258</v>
      </c>
    </row>
    <row r="55" spans="1:9" x14ac:dyDescent="0.35">
      <c r="A55" t="s">
        <v>330</v>
      </c>
      <c r="B55" t="s">
        <v>259</v>
      </c>
      <c r="C55" t="s">
        <v>260</v>
      </c>
      <c r="D55" t="s">
        <v>261</v>
      </c>
      <c r="E55" s="4">
        <v>1</v>
      </c>
      <c r="F55" t="s">
        <v>41</v>
      </c>
      <c r="G55" t="s">
        <v>48</v>
      </c>
      <c r="H55" t="s">
        <v>262</v>
      </c>
      <c r="I55" t="s">
        <v>63</v>
      </c>
    </row>
    <row r="56" spans="1:9" x14ac:dyDescent="0.35">
      <c r="A56" t="s">
        <v>330</v>
      </c>
      <c r="B56" t="s">
        <v>263</v>
      </c>
      <c r="C56" t="s">
        <v>264</v>
      </c>
      <c r="D56" t="s">
        <v>265</v>
      </c>
      <c r="E56" s="4">
        <v>0.8</v>
      </c>
      <c r="F56" t="s">
        <v>266</v>
      </c>
      <c r="G56" t="s">
        <v>171</v>
      </c>
      <c r="H56" t="s">
        <v>262</v>
      </c>
      <c r="I56" t="s">
        <v>63</v>
      </c>
    </row>
    <row r="57" spans="1:9" x14ac:dyDescent="0.35">
      <c r="A57" t="s">
        <v>331</v>
      </c>
      <c r="B57" t="s">
        <v>269</v>
      </c>
      <c r="C57" t="s">
        <v>270</v>
      </c>
      <c r="D57" t="s">
        <v>271</v>
      </c>
      <c r="E57" s="4">
        <v>0.8</v>
      </c>
      <c r="F57" t="s">
        <v>272</v>
      </c>
      <c r="G57" t="s">
        <v>17</v>
      </c>
      <c r="H57" t="s">
        <v>267</v>
      </c>
      <c r="I57" t="s">
        <v>268</v>
      </c>
    </row>
    <row r="58" spans="1:9" x14ac:dyDescent="0.35">
      <c r="A58" t="s">
        <v>331</v>
      </c>
      <c r="B58" t="s">
        <v>273</v>
      </c>
      <c r="C58" t="s">
        <v>274</v>
      </c>
      <c r="D58" t="s">
        <v>275</v>
      </c>
      <c r="E58" s="4">
        <v>0.9</v>
      </c>
      <c r="F58" t="s">
        <v>16</v>
      </c>
      <c r="G58" t="s">
        <v>10</v>
      </c>
      <c r="H58" t="s">
        <v>267</v>
      </c>
      <c r="I58" t="s">
        <v>276</v>
      </c>
    </row>
    <row r="59" spans="1:9" x14ac:dyDescent="0.35">
      <c r="A59" t="s">
        <v>331</v>
      </c>
      <c r="B59" t="s">
        <v>277</v>
      </c>
      <c r="C59" t="s">
        <v>278</v>
      </c>
      <c r="D59" t="s">
        <v>279</v>
      </c>
      <c r="E59" s="4">
        <v>0.8</v>
      </c>
      <c r="F59" t="s">
        <v>91</v>
      </c>
      <c r="G59" t="s">
        <v>17</v>
      </c>
      <c r="H59" t="s">
        <v>280</v>
      </c>
      <c r="I59" t="s">
        <v>276</v>
      </c>
    </row>
    <row r="60" spans="1:9" x14ac:dyDescent="0.35">
      <c r="A60" t="s">
        <v>331</v>
      </c>
      <c r="B60" t="s">
        <v>281</v>
      </c>
      <c r="C60" t="s">
        <v>282</v>
      </c>
      <c r="D60" t="s">
        <v>283</v>
      </c>
      <c r="E60" s="4">
        <v>0.1</v>
      </c>
      <c r="F60" t="s">
        <v>217</v>
      </c>
      <c r="G60" t="s">
        <v>17</v>
      </c>
      <c r="H60" t="s">
        <v>267</v>
      </c>
      <c r="I60" t="s">
        <v>268</v>
      </c>
    </row>
    <row r="61" spans="1:9" x14ac:dyDescent="0.35">
      <c r="A61" t="s">
        <v>331</v>
      </c>
      <c r="B61" t="s">
        <v>284</v>
      </c>
      <c r="C61" t="s">
        <v>285</v>
      </c>
      <c r="D61" t="s">
        <v>286</v>
      </c>
      <c r="E61" s="4">
        <v>0.05</v>
      </c>
      <c r="F61" t="s">
        <v>111</v>
      </c>
      <c r="G61" t="s">
        <v>17</v>
      </c>
      <c r="H61" t="s">
        <v>267</v>
      </c>
      <c r="I61" t="s">
        <v>276</v>
      </c>
    </row>
    <row r="62" spans="1:9" x14ac:dyDescent="0.35">
      <c r="A62" t="s">
        <v>331</v>
      </c>
      <c r="B62" t="s">
        <v>287</v>
      </c>
      <c r="C62" t="s">
        <v>288</v>
      </c>
      <c r="D62" t="s">
        <v>289</v>
      </c>
      <c r="E62" s="4">
        <v>0.6</v>
      </c>
      <c r="F62" t="s">
        <v>266</v>
      </c>
      <c r="G62" t="s">
        <v>48</v>
      </c>
      <c r="H62" t="s">
        <v>290</v>
      </c>
      <c r="I62" t="s">
        <v>268</v>
      </c>
    </row>
    <row r="63" spans="1:9" x14ac:dyDescent="0.35">
      <c r="A63" t="s">
        <v>331</v>
      </c>
      <c r="B63" t="s">
        <v>291</v>
      </c>
      <c r="C63" t="s">
        <v>292</v>
      </c>
      <c r="D63" t="s">
        <v>293</v>
      </c>
      <c r="E63" s="4">
        <v>0.9</v>
      </c>
      <c r="F63" t="s">
        <v>294</v>
      </c>
      <c r="G63" t="s">
        <v>48</v>
      </c>
      <c r="H63" t="s">
        <v>295</v>
      </c>
      <c r="I63" t="s">
        <v>276</v>
      </c>
    </row>
    <row r="64" spans="1:9" x14ac:dyDescent="0.35">
      <c r="A64" t="s">
        <v>332</v>
      </c>
      <c r="B64" t="s">
        <v>297</v>
      </c>
      <c r="C64" t="s">
        <v>298</v>
      </c>
      <c r="D64" t="s">
        <v>299</v>
      </c>
      <c r="E64" s="4">
        <v>0.5</v>
      </c>
      <c r="F64" t="s">
        <v>300</v>
      </c>
      <c r="G64" t="s">
        <v>171</v>
      </c>
      <c r="H64" t="s">
        <v>301</v>
      </c>
      <c r="I64" t="s">
        <v>296</v>
      </c>
    </row>
    <row r="65" spans="1:9" x14ac:dyDescent="0.35">
      <c r="A65" t="s">
        <v>332</v>
      </c>
      <c r="B65" t="s">
        <v>302</v>
      </c>
      <c r="C65" t="s">
        <v>303</v>
      </c>
      <c r="D65" t="s">
        <v>304</v>
      </c>
      <c r="E65" s="4">
        <v>0.8</v>
      </c>
      <c r="F65" t="s">
        <v>16</v>
      </c>
      <c r="G65" t="s">
        <v>171</v>
      </c>
      <c r="H65" t="s">
        <v>305</v>
      </c>
      <c r="I65" t="s">
        <v>306</v>
      </c>
    </row>
    <row r="66" spans="1:9" x14ac:dyDescent="0.35">
      <c r="A66" t="s">
        <v>333</v>
      </c>
      <c r="B66" t="s">
        <v>310</v>
      </c>
      <c r="C66" t="s">
        <v>311</v>
      </c>
      <c r="D66" t="s">
        <v>312</v>
      </c>
      <c r="E66" s="4">
        <v>0.9</v>
      </c>
      <c r="F66" t="s">
        <v>16</v>
      </c>
      <c r="G66" t="s">
        <v>17</v>
      </c>
      <c r="H66" t="s">
        <v>309</v>
      </c>
      <c r="I66" t="s">
        <v>307</v>
      </c>
    </row>
    <row r="67" spans="1:9" x14ac:dyDescent="0.35">
      <c r="A67" t="s">
        <v>334</v>
      </c>
      <c r="B67" t="s">
        <v>313</v>
      </c>
      <c r="C67" t="s">
        <v>314</v>
      </c>
      <c r="D67" t="s">
        <v>315</v>
      </c>
      <c r="E67" s="4">
        <v>0.8</v>
      </c>
      <c r="F67" t="s">
        <v>316</v>
      </c>
      <c r="G67" t="s">
        <v>17</v>
      </c>
      <c r="H67" t="s">
        <v>317</v>
      </c>
      <c r="I67" t="s">
        <v>307</v>
      </c>
    </row>
    <row r="68" spans="1:9" x14ac:dyDescent="0.35">
      <c r="A68" t="s">
        <v>335</v>
      </c>
      <c r="B68" t="s">
        <v>318</v>
      </c>
      <c r="C68" t="s">
        <v>319</v>
      </c>
      <c r="D68" t="s">
        <v>320</v>
      </c>
      <c r="E68" s="4">
        <v>0.9</v>
      </c>
      <c r="F68" t="s">
        <v>91</v>
      </c>
      <c r="G68" t="s">
        <v>171</v>
      </c>
      <c r="H68" t="s">
        <v>308</v>
      </c>
      <c r="I68" t="s">
        <v>307</v>
      </c>
    </row>
    <row r="69" spans="1:9" x14ac:dyDescent="0.35">
      <c r="A69" t="s">
        <v>336</v>
      </c>
      <c r="B69" t="s">
        <v>321</v>
      </c>
      <c r="C69" t="s">
        <v>322</v>
      </c>
      <c r="D69" t="s">
        <v>323</v>
      </c>
      <c r="E69" s="3" t="s">
        <v>351</v>
      </c>
      <c r="F69" t="s">
        <v>97</v>
      </c>
      <c r="G69" t="s">
        <v>48</v>
      </c>
      <c r="H69" t="s">
        <v>309</v>
      </c>
      <c r="I69" t="s">
        <v>307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703E8FD557D4ABDC76C012DE0912F" ma:contentTypeVersion="4" ma:contentTypeDescription="Create a new document." ma:contentTypeScope="" ma:versionID="4ae1fecdc8ac76ff6eae741c438d6fda">
  <xsd:schema xmlns:xsd="http://www.w3.org/2001/XMLSchema" xmlns:xs="http://www.w3.org/2001/XMLSchema" xmlns:p="http://schemas.microsoft.com/office/2006/metadata/properties" xmlns:ns2="1f96a81e-896d-4572-a95f-cc9c67a7cce0" targetNamespace="http://schemas.microsoft.com/office/2006/metadata/properties" ma:root="true" ma:fieldsID="d72617d19545792841da32725fdcb48d" ns2:_="">
    <xsd:import namespace="1f96a81e-896d-4572-a95f-cc9c67a7c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6a81e-896d-4572-a95f-cc9c67a7c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37A632-4C9F-4E1A-A581-E652CE7F2501}"/>
</file>

<file path=customXml/itemProps2.xml><?xml version="1.0" encoding="utf-8"?>
<ds:datastoreItem xmlns:ds="http://schemas.openxmlformats.org/officeDocument/2006/customXml" ds:itemID="{43CCDC8D-8301-4674-8A02-9E2A4E66FAB0}"/>
</file>

<file path=customXml/itemProps3.xml><?xml version="1.0" encoding="utf-8"?>
<ds:datastoreItem xmlns:ds="http://schemas.openxmlformats.org/officeDocument/2006/customXml" ds:itemID="{BDB31464-E1EA-4E7E-A3ED-BEB9E1615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Kelkar</cp:lastModifiedBy>
  <dcterms:created xsi:type="dcterms:W3CDTF">2025-11-18T08:39:36Z</dcterms:created>
  <dcterms:modified xsi:type="dcterms:W3CDTF">2025-11-20T04:51:26Z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0x010100A68703E8FD557D4ABDC76C012DE0912F</vt:lpwstr>
  </property>
</Properties>
</file>